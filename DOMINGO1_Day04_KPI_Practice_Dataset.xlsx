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Gestyaac PC # 23\Downloads\"/>
    </mc:Choice>
  </mc:AlternateContent>
  <xr:revisionPtr revIDLastSave="0" documentId="13_ncr:1_{853CB10E-146A-472E-A356-968D4E19AD3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nstructions" sheetId="1" r:id="rId1"/>
    <sheet name="Sales Data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B7" i="3"/>
  <c r="B8" i="3"/>
  <c r="B9" i="3"/>
  <c r="B5" i="3"/>
  <c r="B22" i="3"/>
  <c r="B21" i="3"/>
  <c r="B20" i="3"/>
  <c r="B19" i="3"/>
  <c r="L14" i="3"/>
  <c r="K14" i="3"/>
  <c r="J14" i="3"/>
  <c r="I14" i="3"/>
  <c r="H14" i="3"/>
  <c r="G14" i="3"/>
  <c r="F14" i="3"/>
  <c r="E14" i="3"/>
  <c r="D14" i="3"/>
  <c r="C14" i="3"/>
  <c r="B14" i="3"/>
  <c r="A14" i="3"/>
</calcChain>
</file>

<file path=xl/sharedStrings.xml><?xml version="1.0" encoding="utf-8"?>
<sst xmlns="http://schemas.openxmlformats.org/spreadsheetml/2006/main" count="220" uniqueCount="149">
  <si>
    <t>Day 04 — Activity 3: KPI Dashboard Practice (Video Follow-Along)</t>
  </si>
  <si>
    <t>Data Analytics Level III | Formative Practice (Video Follow-Along)</t>
  </si>
  <si>
    <t>INSTRUCTIONS:</t>
  </si>
  <si>
    <t>This dataset is for the KPI Dashboard video follow-along practice.</t>
  </si>
  <si>
    <t>Watch the recorded video on the LMS and replicate every step below</t>
  </si>
  <si>
    <t>on this dataset (Tita Boba — Milk Tea &amp; Coffee Shop).</t>
  </si>
  <si>
    <t>WHAT YOU WILL BUILD (on the 'Dashboard' sheet):</t>
  </si>
  <si>
    <t>1. KPI SUMMARY</t>
  </si>
  <si>
    <t xml:space="preserve">   • Total Revenue, Average Sale, Number of Transactions</t>
  </si>
  <si>
    <t xml:space="preserve">   • Highest Single Sale, Lowest Single Sale</t>
  </si>
  <si>
    <t>2. CONDITIONAL FORMATTING</t>
  </si>
  <si>
    <t xml:space="preserve">   • Data Bars on a monthly totals table</t>
  </si>
  <si>
    <t xml:space="preserve">   • Color Scales on a category totals table</t>
  </si>
  <si>
    <t xml:space="preserve">   • Icon Sets (e.g., Traffic Lights) somewhere on the dashboard</t>
  </si>
  <si>
    <t>3. CHARTS</t>
  </si>
  <si>
    <t xml:space="preserve">   • Bar chart: Total Sales by Product Category</t>
  </si>
  <si>
    <t xml:space="preserve">   • Line chart: Monthly Sales Trend</t>
  </si>
  <si>
    <t xml:space="preserve">   • (Optional) Sparkline beside the KPI block</t>
  </si>
  <si>
    <t>4. SHORT REFLECTION (2–3 sentences at the bottom of Dashboard sheet)</t>
  </si>
  <si>
    <t>Save as: Day04_DashboardPractice_[YourName].xlsx</t>
  </si>
  <si>
    <t>Upload to LMS before the next session.</t>
  </si>
  <si>
    <t>Tita Boba — Milk Tea &amp; Coffee Shop | 2025 Sales</t>
  </si>
  <si>
    <t>Transaction ID</t>
  </si>
  <si>
    <t>Month</t>
  </si>
  <si>
    <t>Product Category</t>
  </si>
  <si>
    <t>Product Name</t>
  </si>
  <si>
    <t>Units Sold</t>
  </si>
  <si>
    <t>Sales Amount (₱)</t>
  </si>
  <si>
    <t>TXN-001</t>
  </si>
  <si>
    <t>January</t>
  </si>
  <si>
    <t>Milk Tea</t>
  </si>
  <si>
    <t>Classic Milk Tea (24-cup tray)</t>
  </si>
  <si>
    <t>TXN-002</t>
  </si>
  <si>
    <t>Coffee</t>
  </si>
  <si>
    <t>Iced Coffee (12-cup)</t>
  </si>
  <si>
    <t>TXN-003</t>
  </si>
  <si>
    <t>Snacks</t>
  </si>
  <si>
    <t>Cheese Sticks (50 pcs)</t>
  </si>
  <si>
    <t>TXN-004</t>
  </si>
  <si>
    <t>February</t>
  </si>
  <si>
    <t>Valentine's Special (50-cup)</t>
  </si>
  <si>
    <t>TXN-005</t>
  </si>
  <si>
    <t>Add-ons</t>
  </si>
  <si>
    <t>Heart Toppings (200 pcs)</t>
  </si>
  <si>
    <t>TXN-006</t>
  </si>
  <si>
    <t>Couples Set (paired drinks)</t>
  </si>
  <si>
    <t>TXN-007</t>
  </si>
  <si>
    <t>Hot Latte (20-cup)</t>
  </si>
  <si>
    <t>TXN-008</t>
  </si>
  <si>
    <t>March</t>
  </si>
  <si>
    <t>Wintermelon (24-cup)</t>
  </si>
  <si>
    <t>TXN-009</t>
  </si>
  <si>
    <t>Fries (40 orders)</t>
  </si>
  <si>
    <t>TXN-010</t>
  </si>
  <si>
    <t>Iced Americano (15-cup)</t>
  </si>
  <si>
    <t>TXN-011</t>
  </si>
  <si>
    <t>April</t>
  </si>
  <si>
    <t>Mango Float Tea (30-cup)</t>
  </si>
  <si>
    <t>TXN-012</t>
  </si>
  <si>
    <t>Sago Pearls (5kg bag)</t>
  </si>
  <si>
    <t>TXN-013</t>
  </si>
  <si>
    <t>TXN-014</t>
  </si>
  <si>
    <t>May</t>
  </si>
  <si>
    <t>Summer Special (40-cup)</t>
  </si>
  <si>
    <t>TXN-015</t>
  </si>
  <si>
    <t>Summer Festival Catering (event)</t>
  </si>
  <si>
    <t>TXN-016</t>
  </si>
  <si>
    <t>Iced Latte (25-cup)</t>
  </si>
  <si>
    <t>TXN-017</t>
  </si>
  <si>
    <t>Fruit Jellies (large bag)</t>
  </si>
  <si>
    <t>TXN-018</t>
  </si>
  <si>
    <t>June</t>
  </si>
  <si>
    <t>Classic Milk Tea (30-cup)</t>
  </si>
  <si>
    <t>TXN-019</t>
  </si>
  <si>
    <t>Cheese Sticks (60 pcs)</t>
  </si>
  <si>
    <t>TXN-020</t>
  </si>
  <si>
    <t>Iced Coffee (15-cup)</t>
  </si>
  <si>
    <t>TXN-021</t>
  </si>
  <si>
    <t>July</t>
  </si>
  <si>
    <t>Taro Milk Tea (24-cup)</t>
  </si>
  <si>
    <t>TXN-022</t>
  </si>
  <si>
    <t>Donuts (30 pcs)</t>
  </si>
  <si>
    <t>TXN-023</t>
  </si>
  <si>
    <t>Sago Pearls (5kg)</t>
  </si>
  <si>
    <t>TXN-024</t>
  </si>
  <si>
    <t>August</t>
  </si>
  <si>
    <t>Wintermelon (20-cup)</t>
  </si>
  <si>
    <t>TXN-025</t>
  </si>
  <si>
    <t>Hot Latte (15-cup)</t>
  </si>
  <si>
    <t>TXN-026</t>
  </si>
  <si>
    <t>Cheese Sticks (40 pcs)</t>
  </si>
  <si>
    <t>TXN-027</t>
  </si>
  <si>
    <t>September</t>
  </si>
  <si>
    <t>Brown Sugar Pearl (25-cup)</t>
  </si>
  <si>
    <t>TXN-028</t>
  </si>
  <si>
    <t>Iced Americano (12-cup)</t>
  </si>
  <si>
    <t>TXN-029</t>
  </si>
  <si>
    <t>Coffee Jelly (3kg)</t>
  </si>
  <si>
    <t>TXN-030</t>
  </si>
  <si>
    <t>October</t>
  </si>
  <si>
    <t>Halloween Special (35-cup)</t>
  </si>
  <si>
    <t>TXN-031</t>
  </si>
  <si>
    <t>Halloween Cookies (50 pcs)</t>
  </si>
  <si>
    <t>TXN-032</t>
  </si>
  <si>
    <t>Pumpkin Spice Latte (15-cup)</t>
  </si>
  <si>
    <t>TXN-033</t>
  </si>
  <si>
    <t>November</t>
  </si>
  <si>
    <t>TXN-034</t>
  </si>
  <si>
    <t>Iced Latte (20-cup)</t>
  </si>
  <si>
    <t>TXN-035</t>
  </si>
  <si>
    <t>TXN-036</t>
  </si>
  <si>
    <t>December</t>
  </si>
  <si>
    <t>Christmas Bundle (50-cup)</t>
  </si>
  <si>
    <t>TXN-037</t>
  </si>
  <si>
    <t>Christmas Cookies (60 pcs)</t>
  </si>
  <si>
    <t>TXN-038</t>
  </si>
  <si>
    <t>Hot Chocolate (30-cup)</t>
  </si>
  <si>
    <t>TXN-039</t>
  </si>
  <si>
    <t>Festive Toppings (large bag)</t>
  </si>
  <si>
    <t>TXN-040</t>
  </si>
  <si>
    <t>New Year Bundle (40-cup)</t>
  </si>
  <si>
    <t>YOUR DASHBOARD</t>
  </si>
  <si>
    <t>Build your KPI summary, conditional formatting, and charts here while following the video.</t>
  </si>
  <si>
    <t>TOTAL REVENUE</t>
  </si>
  <si>
    <t>AVERAGE SALE</t>
  </si>
  <si>
    <t>TRANSACTION</t>
  </si>
  <si>
    <t>HIGHEST SALE</t>
  </si>
  <si>
    <t xml:space="preserve">KPI SUMARRY  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</si>
  <si>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</si>
  <si>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</si>
  <si>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</si>
  <si>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</si>
  <si>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</si>
  <si>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</si>
  <si>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</si>
  <si>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</si>
  <si>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</si>
  <si>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</si>
  <si>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</si>
  <si>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</si>
  <si>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CONDITIONAL FORMATING</t>
  </si>
  <si>
    <t>PRODUCT CATEGORY</t>
  </si>
  <si>
    <t>TOTAL SALES</t>
  </si>
  <si>
    <t>CHARTS</t>
  </si>
  <si>
    <t xml:space="preserve"> </t>
  </si>
  <si>
    <t>LOWEST SALE</t>
  </si>
  <si>
    <t>s</t>
  </si>
  <si>
    <t>Tita Boba is a highly seasonal, milktea centric shop. The business relies heavily on bulk orders to achieve spike revenue month like May, while standard day-to-day retail sales drop significantly during off-peak months.</t>
  </si>
  <si>
    <t>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</si>
</sst>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B3A5C"/>
      <name val="Calibri"/>
    </font>
    <font>
      <sz val="12"/>
      <color rgb="FF2E75B6"/>
      <name val="Calibri"/>
    </font>
    <font>
      <sz val="11"/>
      <name val="Calibri"/>
    </font>
    <font>
      <b/>
      <sz val="11"/>
      <name val="Calibri"/>
    </font>
    <font>
      <b/>
      <sz val="14"/>
      <color rgb="FF1B3A5C"/>
      <name val="Calibri"/>
    </font>
    <font>
      <b/>
      <sz val="11"/>
      <color rgb="FFFFFFFF"/>
      <name val="Calibri"/>
    </font>
    <font>
      <i/>
      <sz val="10"/>
      <name val="Calibri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0" xfId="0" applyFill="1" applyAlignment="1">
      <alignment horizontal="center"/>
    </xf>
    <xf numFmtId="3" fontId="0" fillId="4" borderId="2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5" fillId="0" borderId="0" xfId="0" applyFont="1"/>
    <xf numFmtId="0" fontId="9" fillId="8" borderId="4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 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Dashboard!$B$18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Dashboard!$A$19:$A$22</c:f>
              <c:strCache>
                <c:ptCount val="4"/>
                <c:pt idx="0">
                  <c:v>Milk Tea</c:v>
                </c:pt>
                <c:pt idx="1">
                  <c:v>Coffee</c:v>
                </c:pt>
                <c:pt idx="2">
                  <c:v>Snacks</c:v>
                </c:pt>
                <c:pt idx="3">
                  <c:v>Add-ons</c:v>
                </c:pt>
              </c:strCache>
            </c:strRef>
          </c:cat>
          <c:val>
            <c:numRef>
              <c:f>Dashboard!$B$19:$B$22</c:f>
              <c:numCache>
                <c:formatCode>General</c:formatCode>
                <c:ptCount val="4"/>
                <c:pt idx="0">
                  <c:v>293</c:v>
                </c:pt>
                <c:pt idx="1">
                  <c:v>152</c:v>
                </c:pt>
                <c:pt idx="2">
                  <c:v>195</c:v>
                </c:pt>
                <c:pt idx="3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4-4242-A201-4D2BF69E7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639424"/>
        <c:axId val="91636064"/>
        <c:axId val="0"/>
      </c:bar3DChart>
      <c:catAx>
        <c:axId val="916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36064"/>
        <c:crosses val="autoZero"/>
        <c:auto val="1"/>
        <c:lblAlgn val="ctr"/>
        <c:lblOffset val="100"/>
        <c:noMultiLvlLbl val="0"/>
      </c:catAx>
      <c:valAx>
        <c:axId val="9163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39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Dashboard!$B$18</c:f>
              <c:strCache>
                <c:ptCount val="1"/>
                <c:pt idx="0">
                  <c:v>TOTAL SALES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Dashboard!$A$19:$A$22</c:f>
              <c:strCache>
                <c:ptCount val="4"/>
                <c:pt idx="0">
                  <c:v>Milk Tea</c:v>
                </c:pt>
                <c:pt idx="1">
                  <c:v>Coffee</c:v>
                </c:pt>
                <c:pt idx="2">
                  <c:v>Snacks</c:v>
                </c:pt>
                <c:pt idx="3">
                  <c:v>Add-ons</c:v>
                </c:pt>
              </c:strCache>
            </c:strRef>
          </c:cat>
          <c:val>
            <c:numRef>
              <c:f>Dashboard!$B$19:$B$22</c:f>
              <c:numCache>
                <c:formatCode>General</c:formatCode>
                <c:ptCount val="4"/>
                <c:pt idx="0">
                  <c:v>293</c:v>
                </c:pt>
                <c:pt idx="1">
                  <c:v>152</c:v>
                </c:pt>
                <c:pt idx="2">
                  <c:v>195</c:v>
                </c:pt>
                <c:pt idx="3">
                  <c:v>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B9-4452-B4C4-DDA7FC3C75AD}"/>
            </c:ext>
          </c:extLst>
        </c:ser>
        <c:ser>
          <c:idx val="1"/>
          <c:order val="1"/>
          <c:tx>
            <c:strRef>
              <c:f>Dashboard!$A$18</c:f>
              <c:strCache>
                <c:ptCount val="1"/>
                <c:pt idx="0">
                  <c:v>PRODUCT CATEGORY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5BB9-4452-B4C4-DDA7FC3C7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476576"/>
        <c:axId val="1792478016"/>
      </c:lineChart>
      <c:catAx>
        <c:axId val="179247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478016"/>
        <c:crosses val="autoZero"/>
        <c:auto val="1"/>
        <c:lblAlgn val="ctr"/>
        <c:lblOffset val="100"/>
        <c:noMultiLvlLbl val="0"/>
      </c:catAx>
      <c:valAx>
        <c:axId val="17924780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476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KPI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Dashboard!$A$4:$A$9</c15:sqref>
                  </c15:fullRef>
                </c:ext>
              </c:extLst>
              <c:f>Dashboard!$A$5:$A$9</c:f>
              <c:strCache>
                <c:ptCount val="5"/>
                <c:pt idx="0">
                  <c:v>TOTAL REVENUE</c:v>
                </c:pt>
                <c:pt idx="1">
                  <c:v>AVERAGE SALE</c:v>
                </c:pt>
                <c:pt idx="2">
                  <c:v>TRANSACTION</c:v>
                </c:pt>
                <c:pt idx="3">
                  <c:v>HIGHEST SALE</c:v>
                </c:pt>
                <c:pt idx="4">
                  <c:v>LOWEST SALE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Dashboard!$B$4:$B$9</c15:sqref>
                  </c15:fullRef>
                </c:ext>
              </c:extLst>
              <c:f>Dashboard!$B$5:$B$9</c:f>
              <c:numCache>
                <c:formatCode>#,##0</c:formatCode>
                <c:ptCount val="5"/>
                <c:pt idx="0">
                  <c:v>123390</c:v>
                </c:pt>
                <c:pt idx="1">
                  <c:v>3163.8461538461538</c:v>
                </c:pt>
                <c:pt idx="2" formatCode="General">
                  <c:v>39</c:v>
                </c:pt>
                <c:pt idx="3">
                  <c:v>20000</c:v>
                </c:pt>
                <c:pt idx="4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6-4849-8A33-DEDCC03FD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8435584"/>
        <c:axId val="1748436064"/>
      </c:lineChart>
      <c:catAx>
        <c:axId val="174843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436064"/>
        <c:crosses val="autoZero"/>
        <c:auto val="1"/>
        <c:lblAlgn val="ctr"/>
        <c:lblOffset val="100"/>
        <c:noMultiLvlLbl val="0"/>
      </c:catAx>
      <c:valAx>
        <c:axId val="174843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4355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256672</xdr:colOff>
      <xdr:row>15</xdr:row>
      <xdr:rowOff>152401</xdr:rowOff>
    </xdr:from>
    <xdr:to>
      <xdr:col>8</xdr:col>
      <xdr:colOff>64167</xdr:colOff>
      <xdr:row>22</xdr:row>
      <xdr:rowOff>1495779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E1144-04E0-58F2-FF43-9DD9B7943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244594</xdr:colOff>
      <xdr:row>15</xdr:row>
      <xdr:rowOff>159925</xdr:rowOff>
    </xdr:from>
    <xdr:to>
      <xdr:col>12</xdr:col>
      <xdr:colOff>53662</xdr:colOff>
      <xdr:row>23</xdr:row>
      <xdr:rowOff>21637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4913BD-D220-A36A-F36E-5A06FF50F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195385</xdr:colOff>
      <xdr:row>2</xdr:row>
      <xdr:rowOff>163133</xdr:rowOff>
    </xdr:from>
    <xdr:to>
      <xdr:col>11</xdr:col>
      <xdr:colOff>772733</xdr:colOff>
      <xdr:row>10</xdr:row>
      <xdr:rowOff>85859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10331B-B56E-B987-D494-89A9CC19E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opLeftCell="A4" workbookViewId="0">
      <selection activeCell="E11" sqref="E11"/>
    </sheetView>
  </sheetViews>
  <sheetFormatPr defaultRowHeight="15" x14ac:dyDescent="0.25"/>
  <cols>
    <col min="1" max="1" width="80" customWidth="1"/>
  </cols>
  <sheetData>
    <row r="1" spans="1:6" ht="21" x14ac:dyDescent="0.35">
      <c r="A1" s="20" t="s">
        <v>0</v>
      </c>
      <c r="B1" s="19"/>
      <c r="C1" s="19"/>
      <c r="D1" s="19"/>
      <c r="E1" s="19"/>
      <c r="F1" s="19"/>
    </row>
    <row r="2" spans="1:6" ht="15.75" x14ac:dyDescent="0.25">
      <c r="A2" s="18" t="s">
        <v>1</v>
      </c>
      <c r="B2" s="19"/>
      <c r="C2" s="19"/>
      <c r="D2" s="19"/>
      <c r="E2" s="19"/>
      <c r="F2" s="19"/>
    </row>
    <row r="4" spans="1:6" x14ac:dyDescent="0.25">
      <c r="A4" s="1"/>
    </row>
    <row r="5" spans="1:6" x14ac:dyDescent="0.25">
      <c r="A5" s="2" t="s">
        <v>2</v>
      </c>
    </row>
    <row r="6" spans="1:6" x14ac:dyDescent="0.25">
      <c r="A6" s="1"/>
    </row>
    <row r="7" spans="1:6" x14ac:dyDescent="0.25">
      <c r="A7" s="1" t="s">
        <v>3</v>
      </c>
    </row>
    <row r="8" spans="1:6" x14ac:dyDescent="0.25">
      <c r="A8" s="1" t="s">
        <v>4</v>
      </c>
    </row>
    <row r="9" spans="1:6" x14ac:dyDescent="0.25">
      <c r="A9" s="1" t="s">
        <v>5</v>
      </c>
    </row>
    <row r="10" spans="1:6" x14ac:dyDescent="0.25">
      <c r="A10" s="1"/>
    </row>
    <row r="11" spans="1:6" x14ac:dyDescent="0.25">
      <c r="A11" s="2" t="s">
        <v>6</v>
      </c>
    </row>
    <row r="12" spans="1:6" x14ac:dyDescent="0.25">
      <c r="A12" s="1"/>
    </row>
    <row r="13" spans="1:6" x14ac:dyDescent="0.25">
      <c r="A13" s="2" t="s">
        <v>7</v>
      </c>
    </row>
    <row r="14" spans="1:6" x14ac:dyDescent="0.25">
      <c r="A14" s="1" t="s">
        <v>8</v>
      </c>
    </row>
    <row r="15" spans="1:6" x14ac:dyDescent="0.25">
      <c r="A15" s="1" t="s">
        <v>9</v>
      </c>
    </row>
    <row r="16" spans="1:6" x14ac:dyDescent="0.25">
      <c r="A16" s="1"/>
    </row>
    <row r="17" spans="1:1" x14ac:dyDescent="0.25">
      <c r="A17" s="2" t="s">
        <v>10</v>
      </c>
    </row>
    <row r="18" spans="1:1" x14ac:dyDescent="0.25">
      <c r="A18" s="1" t="s">
        <v>11</v>
      </c>
    </row>
    <row r="19" spans="1:1" x14ac:dyDescent="0.25">
      <c r="A19" s="1" t="s">
        <v>12</v>
      </c>
    </row>
    <row r="20" spans="1:1" x14ac:dyDescent="0.25">
      <c r="A20" s="1" t="s">
        <v>13</v>
      </c>
    </row>
    <row r="21" spans="1:1" x14ac:dyDescent="0.25">
      <c r="A21" s="1"/>
    </row>
    <row r="22" spans="1:1" x14ac:dyDescent="0.25">
      <c r="A22" s="2" t="s">
        <v>14</v>
      </c>
    </row>
    <row r="23" spans="1:1" x14ac:dyDescent="0.25">
      <c r="A23" s="1" t="s">
        <v>15</v>
      </c>
    </row>
    <row r="24" spans="1:1" x14ac:dyDescent="0.25">
      <c r="A24" s="1" t="s">
        <v>16</v>
      </c>
    </row>
    <row r="25" spans="1:1" x14ac:dyDescent="0.25">
      <c r="A25" s="1" t="s">
        <v>17</v>
      </c>
    </row>
    <row r="26" spans="1:1" x14ac:dyDescent="0.25">
      <c r="A26" s="1"/>
    </row>
    <row r="27" spans="1:1" x14ac:dyDescent="0.25">
      <c r="A27" s="2" t="s">
        <v>18</v>
      </c>
    </row>
    <row r="28" spans="1:1" x14ac:dyDescent="0.25">
      <c r="A28" s="1"/>
    </row>
    <row r="29" spans="1:1" x14ac:dyDescent="0.25">
      <c r="A29" s="2" t="s">
        <v>19</v>
      </c>
    </row>
    <row r="30" spans="1:1" x14ac:dyDescent="0.25">
      <c r="A30" s="1" t="s">
        <v>20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zoomScale="85" zoomScaleNormal="85" workbookViewId="0">
      <selection activeCell="E13" sqref="E13:E43"/>
    </sheetView>
  </sheetViews>
  <sheetFormatPr defaultRowHeight="15" x14ac:dyDescent="0.25"/>
  <cols>
    <col min="1" max="1" width="14" customWidth="1"/>
    <col min="2" max="2" width="12" customWidth="1"/>
    <col min="3" max="3" width="15.7109375" customWidth="1"/>
    <col min="4" max="4" width="34" customWidth="1"/>
    <col min="5" max="5" width="12" customWidth="1"/>
    <col min="6" max="6" width="18" customWidth="1"/>
  </cols>
  <sheetData>
    <row r="1" spans="1:6" ht="18.75" x14ac:dyDescent="0.3">
      <c r="A1" s="21" t="s">
        <v>21</v>
      </c>
      <c r="B1" s="19"/>
      <c r="C1" s="19"/>
      <c r="D1" s="19"/>
      <c r="E1" s="19"/>
      <c r="F1" s="19"/>
    </row>
    <row r="3" spans="1:6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</row>
    <row r="4" spans="1:6" x14ac:dyDescent="0.25">
      <c r="A4" s="4" t="s">
        <v>28</v>
      </c>
      <c r="B4" s="4" t="s">
        <v>29</v>
      </c>
      <c r="C4" s="4" t="s">
        <v>30</v>
      </c>
      <c r="D4" s="4" t="s">
        <v>31</v>
      </c>
      <c r="E4" s="4">
        <v>24</v>
      </c>
      <c r="F4" s="5">
        <v>2400</v>
      </c>
    </row>
    <row r="5" spans="1:6" x14ac:dyDescent="0.25">
      <c r="A5" s="6" t="s">
        <v>32</v>
      </c>
      <c r="B5" s="6" t="s">
        <v>29</v>
      </c>
      <c r="C5" s="6" t="s">
        <v>33</v>
      </c>
      <c r="D5" s="6" t="s">
        <v>34</v>
      </c>
      <c r="E5" s="6">
        <v>12</v>
      </c>
      <c r="F5" s="7">
        <v>1320</v>
      </c>
    </row>
    <row r="6" spans="1:6" x14ac:dyDescent="0.25">
      <c r="A6" s="4" t="s">
        <v>35</v>
      </c>
      <c r="B6" s="4" t="s">
        <v>29</v>
      </c>
      <c r="C6" s="4" t="s">
        <v>36</v>
      </c>
      <c r="D6" s="4" t="s">
        <v>37</v>
      </c>
      <c r="E6" s="4">
        <v>50</v>
      </c>
      <c r="F6" s="5">
        <v>1500</v>
      </c>
    </row>
    <row r="7" spans="1:6" x14ac:dyDescent="0.25">
      <c r="A7" s="6" t="s">
        <v>38</v>
      </c>
      <c r="B7" s="6" t="s">
        <v>39</v>
      </c>
      <c r="C7" s="6" t="s">
        <v>30</v>
      </c>
      <c r="D7" s="6" t="s">
        <v>40</v>
      </c>
      <c r="E7" s="6">
        <v>50</v>
      </c>
      <c r="F7" s="7">
        <v>7500</v>
      </c>
    </row>
    <row r="8" spans="1:6" x14ac:dyDescent="0.25">
      <c r="A8" s="4" t="s">
        <v>41</v>
      </c>
      <c r="B8" s="4" t="s">
        <v>39</v>
      </c>
      <c r="C8" s="4" t="s">
        <v>42</v>
      </c>
      <c r="D8" s="4" t="s">
        <v>43</v>
      </c>
      <c r="E8" s="4">
        <v>200</v>
      </c>
      <c r="F8" s="5">
        <v>2000</v>
      </c>
    </row>
    <row r="9" spans="1:6" x14ac:dyDescent="0.25">
      <c r="A9" s="6" t="s">
        <v>44</v>
      </c>
      <c r="B9" s="6" t="s">
        <v>39</v>
      </c>
      <c r="C9" s="6" t="s">
        <v>30</v>
      </c>
      <c r="D9" s="6" t="s">
        <v>45</v>
      </c>
      <c r="E9" s="6">
        <v>30</v>
      </c>
      <c r="F9" s="7">
        <v>4500</v>
      </c>
    </row>
    <row r="10" spans="1:6" x14ac:dyDescent="0.25">
      <c r="A10" s="4" t="s">
        <v>46</v>
      </c>
      <c r="B10" s="4" t="s">
        <v>39</v>
      </c>
      <c r="C10" s="4" t="s">
        <v>33</v>
      </c>
      <c r="D10" s="4" t="s">
        <v>47</v>
      </c>
      <c r="E10" s="4">
        <v>20</v>
      </c>
      <c r="F10" s="5">
        <v>2400</v>
      </c>
    </row>
    <row r="11" spans="1:6" x14ac:dyDescent="0.25">
      <c r="A11" s="6" t="s">
        <v>48</v>
      </c>
      <c r="B11" s="6" t="s">
        <v>49</v>
      </c>
      <c r="C11" s="6" t="s">
        <v>30</v>
      </c>
      <c r="D11" s="6" t="s">
        <v>50</v>
      </c>
      <c r="E11" s="6">
        <v>24</v>
      </c>
      <c r="F11" s="7">
        <v>2640</v>
      </c>
    </row>
    <row r="12" spans="1:6" x14ac:dyDescent="0.25">
      <c r="A12" s="4" t="s">
        <v>51</v>
      </c>
      <c r="B12" s="4" t="s">
        <v>49</v>
      </c>
      <c r="C12" s="4" t="s">
        <v>36</v>
      </c>
      <c r="D12" s="4" t="s">
        <v>52</v>
      </c>
      <c r="E12" s="4">
        <v>40</v>
      </c>
      <c r="F12" s="5">
        <v>2000</v>
      </c>
    </row>
    <row r="13" spans="1:6" x14ac:dyDescent="0.25">
      <c r="A13" s="6" t="s">
        <v>53</v>
      </c>
      <c r="B13" s="6" t="s">
        <v>49</v>
      </c>
      <c r="C13" s="6" t="s">
        <v>33</v>
      </c>
      <c r="D13" s="6" t="s">
        <v>54</v>
      </c>
      <c r="E13" s="6">
        <v>15</v>
      </c>
      <c r="F13" s="7">
        <v>1500</v>
      </c>
    </row>
    <row r="14" spans="1:6" x14ac:dyDescent="0.25">
      <c r="A14" s="4" t="s">
        <v>55</v>
      </c>
      <c r="B14" s="4" t="s">
        <v>56</v>
      </c>
      <c r="C14" s="4" t="s">
        <v>30</v>
      </c>
      <c r="D14" s="4" t="s">
        <v>57</v>
      </c>
      <c r="E14" s="6">
        <v>15</v>
      </c>
      <c r="F14" s="5">
        <v>3900</v>
      </c>
    </row>
    <row r="15" spans="1:6" x14ac:dyDescent="0.25">
      <c r="A15" s="6" t="s">
        <v>58</v>
      </c>
      <c r="B15" s="6" t="s">
        <v>56</v>
      </c>
      <c r="C15" s="6" t="s">
        <v>42</v>
      </c>
      <c r="D15" s="6" t="s">
        <v>59</v>
      </c>
      <c r="E15" s="6">
        <v>15</v>
      </c>
      <c r="F15" s="7">
        <v>1250</v>
      </c>
    </row>
    <row r="16" spans="1:6" x14ac:dyDescent="0.25">
      <c r="A16" s="4" t="s">
        <v>60</v>
      </c>
      <c r="B16" s="4" t="s">
        <v>56</v>
      </c>
      <c r="C16" s="4" t="s">
        <v>36</v>
      </c>
      <c r="D16" s="4" t="s">
        <v>37</v>
      </c>
      <c r="E16" s="6">
        <v>15</v>
      </c>
      <c r="F16" s="5">
        <v>1500</v>
      </c>
    </row>
    <row r="17" spans="1:6" x14ac:dyDescent="0.25">
      <c r="A17" s="6" t="s">
        <v>61</v>
      </c>
      <c r="B17" s="6" t="s">
        <v>62</v>
      </c>
      <c r="C17" s="6" t="s">
        <v>30</v>
      </c>
      <c r="D17" s="6" t="s">
        <v>63</v>
      </c>
      <c r="E17" s="6">
        <v>15</v>
      </c>
      <c r="F17" s="7">
        <v>5200</v>
      </c>
    </row>
    <row r="18" spans="1:6" x14ac:dyDescent="0.25">
      <c r="A18" s="4" t="s">
        <v>64</v>
      </c>
      <c r="B18" s="4" t="s">
        <v>62</v>
      </c>
      <c r="C18" s="4" t="s">
        <v>30</v>
      </c>
      <c r="D18" s="4" t="s">
        <v>65</v>
      </c>
      <c r="E18" s="6">
        <v>15</v>
      </c>
      <c r="F18" s="5">
        <v>20000</v>
      </c>
    </row>
    <row r="19" spans="1:6" x14ac:dyDescent="0.25">
      <c r="A19" s="6" t="s">
        <v>66</v>
      </c>
      <c r="B19" s="6" t="s">
        <v>62</v>
      </c>
      <c r="C19" s="6" t="s">
        <v>33</v>
      </c>
      <c r="D19" s="6" t="s">
        <v>67</v>
      </c>
      <c r="E19" s="6">
        <v>15</v>
      </c>
      <c r="F19" s="7">
        <v>3500</v>
      </c>
    </row>
    <row r="20" spans="1:6" x14ac:dyDescent="0.25">
      <c r="A20" s="4" t="s">
        <v>68</v>
      </c>
      <c r="B20" s="4" t="s">
        <v>62</v>
      </c>
      <c r="C20" s="4" t="s">
        <v>42</v>
      </c>
      <c r="D20" s="4" t="s">
        <v>69</v>
      </c>
      <c r="E20" s="6">
        <v>15</v>
      </c>
      <c r="F20" s="5">
        <v>1600</v>
      </c>
    </row>
    <row r="21" spans="1:6" x14ac:dyDescent="0.25">
      <c r="A21" s="6" t="s">
        <v>70</v>
      </c>
      <c r="B21" s="6" t="s">
        <v>71</v>
      </c>
      <c r="C21" s="6" t="s">
        <v>30</v>
      </c>
      <c r="D21" s="6" t="s">
        <v>72</v>
      </c>
      <c r="E21" s="6">
        <v>15</v>
      </c>
      <c r="F21" s="7">
        <v>3000</v>
      </c>
    </row>
    <row r="22" spans="1:6" x14ac:dyDescent="0.25">
      <c r="A22" s="4" t="s">
        <v>73</v>
      </c>
      <c r="B22" s="4" t="s">
        <v>71</v>
      </c>
      <c r="C22" s="4" t="s">
        <v>36</v>
      </c>
      <c r="D22" s="4" t="s">
        <v>74</v>
      </c>
      <c r="E22" s="6">
        <v>15</v>
      </c>
      <c r="F22" s="5">
        <v>1800</v>
      </c>
    </row>
    <row r="23" spans="1:6" x14ac:dyDescent="0.25">
      <c r="A23" s="6" t="s">
        <v>75</v>
      </c>
      <c r="B23" s="6" t="s">
        <v>71</v>
      </c>
      <c r="C23" s="6" t="s">
        <v>33</v>
      </c>
      <c r="D23" s="6" t="s">
        <v>76</v>
      </c>
      <c r="E23" s="6">
        <v>15</v>
      </c>
      <c r="F23" s="7">
        <v>1650</v>
      </c>
    </row>
    <row r="24" spans="1:6" x14ac:dyDescent="0.25">
      <c r="A24" s="4" t="s">
        <v>77</v>
      </c>
      <c r="B24" s="4" t="s">
        <v>78</v>
      </c>
      <c r="C24" s="4" t="s">
        <v>30</v>
      </c>
      <c r="D24" s="4" t="s">
        <v>79</v>
      </c>
      <c r="E24" s="6">
        <v>15</v>
      </c>
      <c r="F24" s="5">
        <v>2880</v>
      </c>
    </row>
    <row r="25" spans="1:6" x14ac:dyDescent="0.25">
      <c r="A25" s="6" t="s">
        <v>80</v>
      </c>
      <c r="B25" s="6" t="s">
        <v>78</v>
      </c>
      <c r="C25" s="6" t="s">
        <v>36</v>
      </c>
      <c r="D25" s="6" t="s">
        <v>81</v>
      </c>
      <c r="E25" s="6">
        <v>15</v>
      </c>
      <c r="F25" s="7">
        <v>1500</v>
      </c>
    </row>
    <row r="26" spans="1:6" x14ac:dyDescent="0.25">
      <c r="A26" s="4" t="s">
        <v>82</v>
      </c>
      <c r="B26" s="4" t="s">
        <v>78</v>
      </c>
      <c r="C26" s="4" t="s">
        <v>42</v>
      </c>
      <c r="D26" s="4" t="s">
        <v>83</v>
      </c>
      <c r="E26" s="6">
        <v>15</v>
      </c>
      <c r="F26" s="5">
        <v>1250</v>
      </c>
    </row>
    <row r="27" spans="1:6" x14ac:dyDescent="0.25">
      <c r="A27" s="6" t="s">
        <v>84</v>
      </c>
      <c r="B27" s="6" t="s">
        <v>85</v>
      </c>
      <c r="C27" s="6" t="s">
        <v>30</v>
      </c>
      <c r="D27" s="6" t="s">
        <v>86</v>
      </c>
      <c r="E27" s="6">
        <v>15</v>
      </c>
      <c r="F27" s="7">
        <v>2200</v>
      </c>
    </row>
    <row r="28" spans="1:6" x14ac:dyDescent="0.25">
      <c r="A28" s="4" t="s">
        <v>87</v>
      </c>
      <c r="B28" s="4" t="s">
        <v>85</v>
      </c>
      <c r="C28" s="4" t="s">
        <v>33</v>
      </c>
      <c r="D28" s="4" t="s">
        <v>88</v>
      </c>
      <c r="E28" s="6">
        <v>15</v>
      </c>
      <c r="F28" s="5">
        <v>1800</v>
      </c>
    </row>
    <row r="29" spans="1:6" x14ac:dyDescent="0.25">
      <c r="A29" s="6" t="s">
        <v>89</v>
      </c>
      <c r="B29" s="6" t="s">
        <v>85</v>
      </c>
      <c r="C29" s="6" t="s">
        <v>36</v>
      </c>
      <c r="D29" s="6" t="s">
        <v>90</v>
      </c>
      <c r="E29" s="6">
        <v>15</v>
      </c>
      <c r="F29" s="7">
        <v>1200</v>
      </c>
    </row>
    <row r="30" spans="1:6" x14ac:dyDescent="0.25">
      <c r="A30" s="4" t="s">
        <v>91</v>
      </c>
      <c r="B30" s="4" t="s">
        <v>92</v>
      </c>
      <c r="C30" s="4" t="s">
        <v>30</v>
      </c>
      <c r="D30" s="4" t="s">
        <v>93</v>
      </c>
      <c r="E30" s="6">
        <v>15</v>
      </c>
      <c r="F30" s="5">
        <v>3750</v>
      </c>
    </row>
    <row r="31" spans="1:6" x14ac:dyDescent="0.25">
      <c r="A31" s="6" t="s">
        <v>94</v>
      </c>
      <c r="B31" s="6" t="s">
        <v>92</v>
      </c>
      <c r="C31" s="6" t="s">
        <v>33</v>
      </c>
      <c r="D31" s="6" t="s">
        <v>95</v>
      </c>
      <c r="E31" s="6">
        <v>15</v>
      </c>
      <c r="F31" s="7">
        <v>1200</v>
      </c>
    </row>
    <row r="32" spans="1:6" x14ac:dyDescent="0.25">
      <c r="A32" s="4" t="s">
        <v>96</v>
      </c>
      <c r="B32" s="4" t="s">
        <v>92</v>
      </c>
      <c r="C32" s="4" t="s">
        <v>42</v>
      </c>
      <c r="D32" s="4" t="s">
        <v>97</v>
      </c>
      <c r="E32" s="6">
        <v>15</v>
      </c>
      <c r="F32" s="5">
        <v>750</v>
      </c>
    </row>
    <row r="33" spans="1:6" x14ac:dyDescent="0.25">
      <c r="A33" s="6" t="s">
        <v>98</v>
      </c>
      <c r="B33" s="6" t="s">
        <v>99</v>
      </c>
      <c r="C33" s="6" t="s">
        <v>30</v>
      </c>
      <c r="D33" s="6" t="s">
        <v>100</v>
      </c>
      <c r="E33" s="6">
        <v>15</v>
      </c>
      <c r="F33" s="7">
        <v>4900</v>
      </c>
    </row>
    <row r="34" spans="1:6" x14ac:dyDescent="0.25">
      <c r="A34" s="4" t="s">
        <v>101</v>
      </c>
      <c r="B34" s="4" t="s">
        <v>99</v>
      </c>
      <c r="C34" s="4" t="s">
        <v>36</v>
      </c>
      <c r="D34" s="4" t="s">
        <v>102</v>
      </c>
      <c r="E34" s="6">
        <v>15</v>
      </c>
      <c r="F34" s="5">
        <v>2000</v>
      </c>
    </row>
    <row r="35" spans="1:6" x14ac:dyDescent="0.25">
      <c r="A35" s="6" t="s">
        <v>103</v>
      </c>
      <c r="B35" s="6" t="s">
        <v>99</v>
      </c>
      <c r="C35" s="6" t="s">
        <v>33</v>
      </c>
      <c r="D35" s="6" t="s">
        <v>104</v>
      </c>
      <c r="E35" s="6">
        <v>15</v>
      </c>
      <c r="F35" s="7">
        <v>2100</v>
      </c>
    </row>
    <row r="36" spans="1:6" x14ac:dyDescent="0.25">
      <c r="A36" s="4" t="s">
        <v>105</v>
      </c>
      <c r="B36" s="4" t="s">
        <v>106</v>
      </c>
      <c r="C36" s="4" t="s">
        <v>30</v>
      </c>
      <c r="D36" s="4" t="s">
        <v>72</v>
      </c>
      <c r="E36" s="6">
        <v>15</v>
      </c>
      <c r="F36" s="5">
        <v>3000</v>
      </c>
    </row>
    <row r="37" spans="1:6" x14ac:dyDescent="0.25">
      <c r="A37" s="6" t="s">
        <v>107</v>
      </c>
      <c r="B37" s="6" t="s">
        <v>106</v>
      </c>
      <c r="C37" s="6" t="s">
        <v>33</v>
      </c>
      <c r="D37" s="6" t="s">
        <v>108</v>
      </c>
      <c r="E37" s="6">
        <v>15</v>
      </c>
      <c r="F37" s="7">
        <v>2800</v>
      </c>
    </row>
    <row r="38" spans="1:6" x14ac:dyDescent="0.25">
      <c r="A38" s="4" t="s">
        <v>109</v>
      </c>
      <c r="B38" s="4" t="s">
        <v>106</v>
      </c>
      <c r="C38" s="4" t="s">
        <v>36</v>
      </c>
      <c r="D38" s="4" t="s">
        <v>74</v>
      </c>
      <c r="E38" s="6">
        <v>15</v>
      </c>
      <c r="F38" s="5">
        <v>1800</v>
      </c>
    </row>
    <row r="39" spans="1:6" x14ac:dyDescent="0.25">
      <c r="A39" s="6" t="s">
        <v>110</v>
      </c>
      <c r="B39" s="6" t="s">
        <v>111</v>
      </c>
      <c r="C39" s="6" t="s">
        <v>30</v>
      </c>
      <c r="D39" s="6" t="s">
        <v>112</v>
      </c>
      <c r="E39" s="6">
        <v>15</v>
      </c>
      <c r="F39" s="7">
        <v>7000</v>
      </c>
    </row>
    <row r="40" spans="1:6" x14ac:dyDescent="0.25">
      <c r="A40" s="4" t="s">
        <v>113</v>
      </c>
      <c r="B40" s="4" t="s">
        <v>111</v>
      </c>
      <c r="C40" s="4" t="s">
        <v>36</v>
      </c>
      <c r="D40" s="4" t="s">
        <v>114</v>
      </c>
      <c r="E40" s="6">
        <v>15</v>
      </c>
      <c r="F40" s="5">
        <v>2400</v>
      </c>
    </row>
    <row r="41" spans="1:6" x14ac:dyDescent="0.25">
      <c r="A41" s="6" t="s">
        <v>115</v>
      </c>
      <c r="B41" s="6" t="s">
        <v>111</v>
      </c>
      <c r="C41" s="6" t="s">
        <v>33</v>
      </c>
      <c r="D41" s="6" t="s">
        <v>116</v>
      </c>
      <c r="E41" s="6">
        <v>15</v>
      </c>
      <c r="F41" s="7">
        <v>4500</v>
      </c>
    </row>
    <row r="42" spans="1:6" x14ac:dyDescent="0.25">
      <c r="A42" s="4" t="s">
        <v>117</v>
      </c>
      <c r="B42" s="4" t="s">
        <v>111</v>
      </c>
      <c r="C42" s="4" t="s">
        <v>42</v>
      </c>
      <c r="D42" s="4" t="s">
        <v>118</v>
      </c>
      <c r="E42" s="6">
        <v>15</v>
      </c>
      <c r="F42" s="5">
        <v>2000</v>
      </c>
    </row>
    <row r="43" spans="1:6" x14ac:dyDescent="0.25">
      <c r="A43" s="6" t="s">
        <v>119</v>
      </c>
      <c r="B43" s="6" t="s">
        <v>111</v>
      </c>
      <c r="C43" s="6" t="s">
        <v>30</v>
      </c>
      <c r="D43" s="6" t="s">
        <v>120</v>
      </c>
      <c r="E43" s="6">
        <v>15</v>
      </c>
      <c r="F43" s="7">
        <v>5600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tabSelected="1" topLeftCell="H10" zoomScaleNormal="100" workbookViewId="0">
      <selection activeCell="N3" sqref="N3"/>
    </sheetView>
  </sheetViews>
  <sheetFormatPr defaultColWidth="8.85546875" defaultRowHeight="15" x14ac:dyDescent="0.25"/>
  <cols>
    <col min="1" max="1" width="25.7109375" style="9" customWidth="1"/>
    <col min="2" max="2" width="13.28515625" style="9" customWidth="1"/>
    <col min="3" max="3" width="8.85546875" style="9"/>
    <col min="4" max="4" width="12.42578125" style="9" customWidth="1"/>
    <col min="5" max="5" width="11.42578125" style="9" customWidth="1"/>
    <col min="6" max="6" width="12.28515625" style="9" customWidth="1"/>
    <col min="7" max="7" width="12.42578125" style="9" customWidth="1"/>
    <col min="8" max="8" width="12" style="9" customWidth="1"/>
    <col min="9" max="9" width="11.85546875" style="9" customWidth="1"/>
    <col min="10" max="10" width="8.85546875" style="9"/>
    <col min="11" max="11" width="11.7109375" style="9" customWidth="1"/>
    <col min="12" max="12" width="12.85546875" style="9" customWidth="1"/>
    <col min="13" max="13" width="11.28515625" style="9" customWidth="1"/>
    <col min="14" max="14" width="198" style="9" bestFit="1" customWidth="1"/>
    <col min="15" max="15" width="10.7109375" style="9" customWidth="1"/>
    <col min="16" max="16384" width="8.85546875" style="9"/>
  </cols>
  <sheetData>
    <row r="1" spans="1:14" ht="18.75" x14ac:dyDescent="0.3">
      <c r="A1" s="8" t="s">
        <v>121</v>
      </c>
    </row>
    <row r="2" spans="1:14" x14ac:dyDescent="0.25">
      <c r="E2" s="10" t="s">
        <v>122</v>
      </c>
    </row>
    <row r="3" spans="1:14" x14ac:dyDescent="0.25">
      <c r="N3" s="9" t="s">
        <v>148</v>
      </c>
    </row>
    <row r="4" spans="1:14" ht="18.75" x14ac:dyDescent="0.3">
      <c r="A4" s="25" t="s">
        <v>127</v>
      </c>
      <c r="B4" s="25"/>
      <c r="N4" s="9" t="s">
        <v>147</v>
      </c>
    </row>
    <row r="5" spans="1:14" x14ac:dyDescent="0.25">
      <c r="A5" s="15" t="s">
        <v>123</v>
      </c>
      <c r="B5" s="13">
        <f>SUM('Sales Data'!F5:F44)</f>
        <v>123390</v>
      </c>
    </row>
    <row r="6" spans="1:14" x14ac:dyDescent="0.25">
      <c r="A6" s="15" t="s">
        <v>124</v>
      </c>
      <c r="B6" s="13">
        <f>AVERAGE('Sales Data'!F5:F44)</f>
        <v>3163.8461538461538</v>
      </c>
    </row>
    <row r="7" spans="1:14" x14ac:dyDescent="0.25">
      <c r="A7" s="15" t="s">
        <v>125</v>
      </c>
      <c r="B7" s="11">
        <f>COUNT('Sales Data'!F5:F44)</f>
        <v>39</v>
      </c>
    </row>
    <row r="8" spans="1:14" ht="16.149999999999999" customHeight="1" x14ac:dyDescent="0.25">
      <c r="A8" s="15" t="s">
        <v>126</v>
      </c>
      <c r="B8" s="13">
        <f>MAX('Sales Data'!F5:F44)</f>
        <v>20000</v>
      </c>
    </row>
    <row r="9" spans="1:14" x14ac:dyDescent="0.25">
      <c r="A9" s="15" t="s">
        <v>145</v>
      </c>
      <c r="B9" s="14">
        <f>MIN('Sales Data'!F4:F43)</f>
        <v>750</v>
      </c>
    </row>
    <row r="12" spans="1:14" ht="18.75" x14ac:dyDescent="0.3">
      <c r="A12" s="22" t="s">
        <v>140</v>
      </c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1:14" ht="14.45" customHeight="1" x14ac:dyDescent="0.25">
      <c r="A13" s="15" t="s">
        <v>128</v>
      </c>
      <c r="B13" s="15" t="s">
        <v>129</v>
      </c>
      <c r="C13" s="15" t="s">
        <v>130</v>
      </c>
      <c r="D13" s="15" t="s">
        <v>131</v>
      </c>
      <c r="E13" s="15" t="s">
        <v>132</v>
      </c>
      <c r="F13" s="15" t="s">
        <v>133</v>
      </c>
      <c r="G13" s="15" t="s">
        <v>134</v>
      </c>
      <c r="H13" s="15" t="s">
        <v>135</v>
      </c>
      <c r="I13" s="15" t="s">
        <v>136</v>
      </c>
      <c r="J13" s="15" t="s">
        <v>137</v>
      </c>
      <c r="K13" s="15" t="s">
        <v>138</v>
      </c>
      <c r="L13" s="15" t="s">
        <v>139</v>
      </c>
    </row>
    <row r="14" spans="1:14" x14ac:dyDescent="0.25">
      <c r="A14" s="11">
        <f>SUMIF('Sales Data'!B4:'Sales Data'!B43,"JANUARY",'Sales Data'!F4:F43)</f>
        <v>5220</v>
      </c>
      <c r="B14" s="11">
        <f>SUMIF('Sales Data'!B4:'Sales Data'!B43,"FEBRUARY",'Sales Data'!F4:F43)</f>
        <v>16400</v>
      </c>
      <c r="C14" s="11">
        <f>SUMIF('Sales Data'!B4:'Sales Data'!B43,"MARCH",'Sales Data'!F4:F43)</f>
        <v>6140</v>
      </c>
      <c r="D14" s="11">
        <f>SUMIF('Sales Data'!B4:'Sales Data'!B43,"APRIL",'Sales Data'!F4:F43)</f>
        <v>6650</v>
      </c>
      <c r="E14" s="11">
        <f>SUMIF('Sales Data'!B4:'Sales Data'!B43,"MAY",'Sales Data'!F4:F43)</f>
        <v>30300</v>
      </c>
      <c r="F14" s="11">
        <f>SUMIF('Sales Data'!B4:'Sales Data'!B43,"JUNE",'Sales Data'!F4:F43)</f>
        <v>6450</v>
      </c>
      <c r="G14" s="11">
        <f>SUMIF('Sales Data'!B4:'Sales Data'!B43,"JULY",'Sales Data'!F4:F43)</f>
        <v>5630</v>
      </c>
      <c r="H14" s="11">
        <f>SUMIF('Sales Data'!B4:'Sales Data'!B43,"AUGUST",'Sales Data'!F4:F43)</f>
        <v>5200</v>
      </c>
      <c r="I14" s="11">
        <f>SUMIF('Sales Data'!B4:'Sales Data'!B43,"SEPTEMBER",'Sales Data'!F4:F43)</f>
        <v>5700</v>
      </c>
      <c r="J14" s="11">
        <f>SUMIF('Sales Data'!B4:'Sales Data'!B43,"OCTOBER",'Sales Data'!F4:F43)</f>
        <v>9000</v>
      </c>
      <c r="K14" s="11">
        <f>SUMIF('Sales Data'!B4:'Sales Data'!B43,"NOVEMBER",'Sales Data'!F4:F43)</f>
        <v>7600</v>
      </c>
      <c r="L14" s="11">
        <f>SUMIF('Sales Data'!B4:'Sales Data'!B43,"DECEMBER",'Sales Data'!F4:F43)</f>
        <v>21500</v>
      </c>
    </row>
    <row r="15" spans="1:14" ht="47.45" customHeight="1" x14ac:dyDescent="0.25">
      <c r="A15" s="12"/>
    </row>
    <row r="17" spans="1:16" ht="18.75" x14ac:dyDescent="0.3">
      <c r="A17" s="26" t="s">
        <v>143</v>
      </c>
      <c r="B17" s="26"/>
      <c r="F17" s="9" t="s">
        <v>144</v>
      </c>
    </row>
    <row r="18" spans="1:16" x14ac:dyDescent="0.25">
      <c r="A18" s="17" t="s">
        <v>141</v>
      </c>
      <c r="B18" s="17" t="s">
        <v>142</v>
      </c>
    </row>
    <row r="19" spans="1:16" x14ac:dyDescent="0.25">
      <c r="A19" s="16" t="s">
        <v>30</v>
      </c>
      <c r="B19" s="11">
        <f>SUMIF('Sales Data'!C4:C43,A19,'Sales Data'!E4:E43)</f>
        <v>293</v>
      </c>
      <c r="P19" s="9" t="s">
        <v>146</v>
      </c>
    </row>
    <row r="20" spans="1:16" x14ac:dyDescent="0.25">
      <c r="A20" s="16" t="s">
        <v>33</v>
      </c>
      <c r="B20" s="11">
        <f>SUMIF('Sales Data'!C4:C43,A20,'Sales Data'!E4:E43)</f>
        <v>152</v>
      </c>
    </row>
    <row r="21" spans="1:16" x14ac:dyDescent="0.25">
      <c r="A21" s="16" t="s">
        <v>36</v>
      </c>
      <c r="B21" s="11">
        <f>SUMIF('Sales Data'!C4:C43,A21,'Sales Data'!E4:E43)</f>
        <v>195</v>
      </c>
    </row>
    <row r="22" spans="1:16" x14ac:dyDescent="0.25">
      <c r="A22" s="16" t="s">
        <v>42</v>
      </c>
      <c r="B22" s="11">
        <f>SUMIF('Sales Data'!C4:C43,A22,'Sales Data'!E4:E43)</f>
        <v>275</v>
      </c>
    </row>
    <row r="23" spans="1:16" ht="118.15" customHeight="1" x14ac:dyDescent="0.25"/>
  </sheetData>
  <mergeCells count="3">
    <mergeCell ref="A12:L12"/>
    <mergeCell ref="A4:B4"/>
    <mergeCell ref="A17:B17"/>
  </mergeCells>
  <phoneticPr fontId="8" type="noConversion"/>
  <conditionalFormatting sqref="A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{09D27FAA-B281-4C46-8658-72F2D33A482C}</x14:id>
        </ext>
      </extLst>
    </cfRule>
  </conditionalFormatting>
  <conditionalFormatting sqref="A14:L14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">
      <colorScale>
        <cfvo type="min"/>
        <cfvo type="max"/>
        <color rgb="FF63BE7B"/>
        <color rgb="FFFFEF9C"/>
      </colorScale>
    </cfRule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{9897EAA4-3B34-4DCC-AA08-A67B60E280EA}</x14:id>
        </ext>
      </extLst>
    </cfRule>
  </conditionalFormatting>
  <conditionalFormatting sqref="B5:B8">
    <cfRule type="colorScale" priority="29">
      <colorScale>
        <cfvo type="min"/>
        <cfvo type="max"/>
        <color rgb="FFFCFCFF"/>
        <color rgb="FF63BE7B"/>
      </colorScale>
    </cfRule>
    <cfRule type="iconSet" priority="30">
      <iconSet iconSet="3Arrows">
        <cfvo type="percent" val="0"/>
        <cfvo type="percent" val="33"/>
        <cfvo type="percent" val="67"/>
      </iconSe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{76392F19-A58C-4CCC-A934-5AF38A2F5CC7}</x14:id>
        </ext>
      </extLst>
    </cfRule>
  </conditionalFormatting>
  <conditionalFormatting sqref="B5:B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{00B9678D-B341-41F1-ACC9-BD2CBEE192AD}</x14:id>
        </ext>
      </extLst>
    </cfRule>
    <cfRule type="colorScale" priority="9">
      <colorScale>
        <cfvo type="min"/>
        <cfvo type="max"/>
        <color rgb="FF63BE7B"/>
        <color rgb="FFFCFCFF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B2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{1D4E70CF-11ED-4A9D-BD60-B247096DF359}</x14:id>
        </ext>
      </extLst>
    </cfRule>
    <cfRule type="colorScale" priority="8">
      <colorScale>
        <cfvo type="min"/>
        <cfvo type="max"/>
        <color rgb="FFFCFCFF"/>
        <color rgb="FFF8696B"/>
      </colorScale>
    </cfRule>
  </conditionalFormatting>
  <conditionalFormatting sqref="A12:L12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D27FAA-B281-4C46-8658-72F2D33A4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A15</xm:sqref>
        </x14:conditionalFormatting>
        <x14:conditionalFormatting xmlns:xm="http://schemas.microsoft.com/office/excel/2006/main">
          <x14:cfRule type="dataBar" id="{9897EAA4-3B34-4DCC-AA08-A67B60E280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A14:L14</xm:sqref>
        </x14:conditionalFormatting>
        <x14:conditionalFormatting xmlns:xm="http://schemas.microsoft.com/office/excel/2006/main">
          <x14:cfRule type="dataBar" id="{76392F19-A58C-4CCC-A934-5AF38A2F5C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B5:B8</xm:sqref>
        </x14:conditionalFormatting>
        <x14:conditionalFormatting xmlns:xm="http://schemas.microsoft.com/office/excel/2006/main">
          <x14:cfRule type="dataBar" id="{00B9678D-B341-41F1-ACC9-BD2CBEE192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B5:B9</xm:sqref>
        </x14:conditionalFormatting>
        <x14:conditionalFormatting xmlns:xm="http://schemas.microsoft.com/office/excel/2006/main">
          <x14:cfRule type="dataBar" id="{1D4E70CF-11ED-4A9D-BD60-B247096DF35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B19:B22</xm:sqref>
        </x14:conditionalFormatting>
        <x14:conditionalFormatting xmlns:xm="http://schemas.microsoft.com/office/excel/2006/main">
          <x14:cfRule type="iconSet" priority="2" id="{00000000-000E-0000-0200-00000E00000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A14:L14</xm:sqref>
        </x14:conditionalFormatting>
        <x14:conditionalFormatting xmlns:xm="http://schemas.microsoft.com/office/excel/2006/main">
          <x14:cfRule type="iconSet" priority="3" id="{00000000-000E-0000-0200-00001500000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B5:B9</xm:sqref>
        </x14:conditionalFormatting>
        <x14:conditionalFormatting xmlns:xm="http://schemas.microsoft.com/office/excel/2006/main">
          <x14:cfRule type="iconSet" priority="18" id="{837A3AC2-0876-4E56-AE1C-62B1623D280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B19:B22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6F4E922-CC30-4347-9221-05923A1C5E0A}">
          <x14:colorSeries theme="6" tint="-0.49998474074526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Dashboard!B19:B22</xm:f>
              <xm:sqref>A23</xm:sqref>
            </x14:sparkline>
          </x14:sparklines>
        </x14:sparklineGroup>
        <x14:sparklineGroup displayEmptyCellsAs="gap" xr2:uid="{841EB2D7-FAAF-488B-927D-ED2F938A2B4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Dashboard!A14:L14</xm:f>
              <xm:sqref>A15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Sales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Gestaac Pc  # 23</cp:lastModifiedBy>
  <dcterms:created xsi:type="dcterms:W3CDTF">2026-05-18T23:48:56Z</dcterms:created>
  <dcterms:modified xsi:type="dcterms:W3CDTF">2026-06-16T06:07:19Z</dcterms:modified>
</cp:coreProperties>
</file>